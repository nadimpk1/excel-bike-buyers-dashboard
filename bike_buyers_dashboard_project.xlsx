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249" documentId="8_{ABC04089-7769-4E43-9915-B025B1F01043}" xr6:coauthVersionLast="47" xr6:coauthVersionMax="47" xr10:uidLastSave="{08407619-486C-4E4C-8A59-7EDFDB33CA34}"/>
  <bookViews>
    <workbookView xWindow="-108" yWindow="-108" windowWidth="23256" windowHeight="12456" activeTab="2" xr2:uid="{00000000-000D-0000-FFFF-FFFF00000000}"/>
  </bookViews>
  <sheets>
    <sheet name="bike_buyers" sheetId="1" r:id="rId1"/>
    <sheet name="Working Sheet" sheetId="5" r:id="rId2"/>
    <sheet name="Pivot Table + Dashboard" sheetId="3" r:id="rId3"/>
  </sheets>
  <definedNames>
    <definedName name="_xlnm._FilterDatabase" localSheetId="0" hidden="1">bike_buyers!$A$1:$M$1001</definedName>
    <definedName name="_xlnm._FilterDatabase" localSheetId="1" hidden="1">'Working Sheet'!$A$1:$N$1027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26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</calcChain>
</file>

<file path=xl/sharedStrings.xml><?xml version="1.0" encoding="utf-8"?>
<sst xmlns="http://schemas.openxmlformats.org/spreadsheetml/2006/main" count="16266" uniqueCount="48">
  <si>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</si>
  <si>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</si>
  <si>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</si>
  <si>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</si>
  <si>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</si>
  <si>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</si>
  <si>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</si>
  <si>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</si>
  <si>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</si>
  <si>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</si>
  <si>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</si>
  <si>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</si>
  <si>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</si>
  <si>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</si>
  <si>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</si>
  <si>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</si>
  <si>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</si>
  <si>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</si>
  <si>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</si>
  <si>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</si>
  <si>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</si>
  <si>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</si>
  <si>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</si>
  <si>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</si>
  <si>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</si>
  <si>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</si>
  <si>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</si>
  <si>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</si>
  <si>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</si>
  <si>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</si>
  <si>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</si>
  <si>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</si>
  <si>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</si>
  <si>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</si>
  <si>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</si>
  <si>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</si>
  <si>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</si>
  <si>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</si>
  <si>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</si>
  <si>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</si>
  <si>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</si>
  <si>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10 Miles +</t>
  </si>
  <si>
    <t>Bike Sales Dashboard</t>
  </si>
  <si>
    <t>Average of Income</t>
  </si>
  <si>
    <t>Grand Total</t>
  </si>
  <si>
    <t>Count of Purchased Bike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</si>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</sst>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_-[$$-409]* #,##0.00_ ;_-[$$-409]* \-#,##0.00\ ;_-[$$-409]* &quot;-&quot;??_ ;_-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18" fillId="0" borderId="0" xfId="0" applyFont="1"/>
    <xf numFmtId="0" fontId="16" fillId="0" borderId="0" xfId="0" applyFont="1"/>
    <xf numFmtId="166" fontId="16" fillId="0" borderId="0" xfId="0" applyNumberFormat="1" applyFont="1"/>
    <xf numFmtId="166" fontId="0" fillId="0" borderId="0" xfId="0" applyNumberFormat="1"/>
    <xf numFmtId="166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0" borderId="0" xfId="0" pivotButton="1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Table + Dashboard!PivotTable1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+ Dashboard'!$B$41:$B$42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+ Dashboard'!$A$43:$A$45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+ Dashboard'!$B$43:$B$45</c:f>
              <c:numCache>
                <c:formatCode>0</c:formatCode>
                <c:ptCount val="2"/>
                <c:pt idx="0">
                  <c:v>71111.111111111109</c:v>
                </c:pt>
                <c:pt idx="1">
                  <c:v>66774.193548387091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1-4227-89D0-F3054481B5EB}"/>
            </c:ext>
          </c:extLst>
        </c:ser>
        <c:ser>
          <c:idx val="1"/>
          <c:order val="1"/>
          <c:tx>
            <c:strRef>
              <c:f>'Pivot Table + Dashboard'!$C$41:$C$42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+ Dashboard'!$A$43:$A$45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+ Dashboard'!$C$43:$C$45</c:f>
              <c:numCache>
                <c:formatCode>0</c:formatCode>
                <c:ptCount val="2"/>
                <c:pt idx="0">
                  <c:v>76875</c:v>
                </c:pt>
                <c:pt idx="1">
                  <c:v>61250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1-4227-89D0-F3054481B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256711"/>
        <c:axId val="1222675975"/>
      </c:barChart>
      <c:catAx>
        <c:axId val="525256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75975"/>
        <c:crosses val="autoZero"/>
        <c:auto val="1"/>
        <c:lblAlgn val="ctr"/>
        <c:lblOffset val="100"/>
        <c:noMultiLvlLbl val="0"/>
      </c:catAx>
      <c:valAx>
        <c:axId val="1222675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7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Table + Dashboard!PivotTable3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+ Dashboard'!$B$58:$B$59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+ Dashboard'!$A$60:$A$62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 + Dashboard'!$B$60:$B$62</c:f>
              <c:numCache>
                <c:formatCode>General</c:formatCode>
                <c:ptCount val="2"/>
                <c:pt idx="0">
                  <c:v>25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C-4B77-B57C-72B684F84541}"/>
            </c:ext>
          </c:extLst>
        </c:ser>
        <c:ser>
          <c:idx val="1"/>
          <c:order val="1"/>
          <c:tx>
            <c:strRef>
              <c:f>'Pivot Table + Dashboard'!$C$58:$C$59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+ Dashboard'!$A$60:$A$62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 + Dashboard'!$C$60:$C$62</c:f>
              <c:numCache>
                <c:formatCode>General</c:formatCode>
                <c:ptCount val="2"/>
                <c:pt idx="0">
                  <c:v>21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C-4B77-B57C-72B684F84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50183"/>
        <c:axId val="80069127"/>
      </c:lineChart>
      <c:catAx>
        <c:axId val="80050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69127"/>
        <c:crosses val="autoZero"/>
        <c:auto val="1"/>
        <c:lblAlgn val="ctr"/>
        <c:lblOffset val="100"/>
        <c:noMultiLvlLbl val="0"/>
      </c:catAx>
      <c:valAx>
        <c:axId val="80069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0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[sales_dashboard_project.xlsx]Pivot Table + Dashboard!PivotTable2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+ Dashboard'!$B$48:$B$49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+ Dashboard'!$A$50:$A$55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 + Dashboard'!$B$50:$B$55</c:f>
              <c:numCache>
                <c:formatCode>General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9</c:v>
                </c:pt>
                <c:pt idx="3">
                  <c:v>4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3-44E4-945C-A91230CBC7C5}"/>
            </c:ext>
          </c:extLst>
        </c:ser>
        <c:ser>
          <c:idx val="1"/>
          <c:order val="1"/>
          <c:tx>
            <c:strRef>
              <c:f>'Pivot Table + Dashboard'!$C$48:$C$49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+ Dashboard'!$A$50:$A$55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'Pivot Table + Dashboard'!$C$50:$C$55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3-44E4-945C-A91230CBC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46215"/>
        <c:axId val="74849287"/>
      </c:lineChart>
      <c:catAx>
        <c:axId val="74846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9287"/>
        <c:crosses val="autoZero"/>
        <c:auto val="1"/>
        <c:lblAlgn val="ctr"/>
        <c:lblOffset val="100"/>
        <c:noMultiLvlLbl val="0"/>
      </c:catAx>
      <c:valAx>
        <c:axId val="74849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6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1495425</xdr:colOff>
      <xdr:row>6</xdr:row>
      <xdr:rowOff>19050</xdr:rowOff>
    </xdr:from>
    <xdr:to>
      <xdr:col>6</xdr:col>
      <xdr:colOff>400050</xdr:colOff>
      <xdr:row>18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D26999F-0ACE-4896-A40A-A25337734A41}"/>
            </a:ext>
            <a:ext uri="{147F2762-F138-4A5C-976F-8EAC2B608ADB}">
              <a16:predDERef xmlns:a16="http://schemas.microsoft.com/office/drawing/2014/main" pred="{895B179A-47F7-D3FD-267B-19BC5649C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</xdr:row>
      <xdr:rowOff>28575</xdr:rowOff>
    </xdr:from>
    <xdr:to>
      <xdr:col>1</xdr:col>
      <xdr:colOff>0</xdr:colOff>
      <xdr:row>11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arital Status">
              <a:extLst>
                <a:ext uri="{FF2B5EF4-FFF2-40B4-BE49-F238E27FC236}">
                  <a16:creationId xmlns:a16="http://schemas.microsoft.com/office/drawing/2014/main" id="{895B179A-47F7-D3FD-267B-19BC5649C9B5}"/>
                </a:ext>
                <a:ext uri="{147F2762-F138-4A5C-976F-8EAC2B608ADB}">
                  <a16:predDERef xmlns:a16="http://schemas.microsoft.com/office/drawing/2014/main" pred="{AD26999F-0ACE-4896-A40A-A25337734A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71575"/>
              <a:ext cx="1504950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6</xdr:col>
      <xdr:colOff>457200</xdr:colOff>
      <xdr:row>6</xdr:row>
      <xdr:rowOff>19050</xdr:rowOff>
    </xdr:from>
    <xdr:to>
      <xdr:col>12</xdr:col>
      <xdr:colOff>600075</xdr:colOff>
      <xdr:row>18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64FC8-F65B-4B9E-AC96-349B5CBE5DFE}"/>
            </a:ext>
            <a:ext uri="{147F2762-F138-4A5C-976F-8EAC2B608ADB}">
              <a16:predDERef xmlns:a16="http://schemas.microsoft.com/office/drawing/2014/main" pred="{895B179A-47F7-D3FD-267B-19BC5649C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1495425</xdr:colOff>
      <xdr:row>18</xdr:row>
      <xdr:rowOff>104775</xdr:rowOff>
    </xdr:from>
    <xdr:to>
      <xdr:col>12</xdr:col>
      <xdr:colOff>600075</xdr:colOff>
      <xdr:row>33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717D0A-7112-4E07-BC4A-C8B5E8937EA2}"/>
            </a:ext>
            <a:ext uri="{147F2762-F138-4A5C-976F-8EAC2B608ADB}">
              <a16:predDERef xmlns:a16="http://schemas.microsoft.com/office/drawing/2014/main" pred="{61264FC8-F65B-4B9E-AC96-349B5CBE5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17</xdr:row>
      <xdr:rowOff>161925</xdr:rowOff>
    </xdr:from>
    <xdr:to>
      <xdr:col>1</xdr:col>
      <xdr:colOff>0</xdr:colOff>
      <xdr:row>26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Education">
              <a:extLst>
                <a:ext uri="{FF2B5EF4-FFF2-40B4-BE49-F238E27FC236}">
                  <a16:creationId xmlns:a16="http://schemas.microsoft.com/office/drawing/2014/main" id="{3BD5550B-370F-2D91-D4C9-8A89A9863972}"/>
                </a:ext>
                <a:ext uri="{147F2762-F138-4A5C-976F-8EAC2B608ADB}">
                  <a16:predDERef xmlns:a16="http://schemas.microsoft.com/office/drawing/2014/main" pred="{99717D0A-7112-4E07-BC4A-C8B5E8937E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400425"/>
              <a:ext cx="1504950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66675</xdr:rowOff>
    </xdr:from>
    <xdr:to>
      <xdr:col>1</xdr:col>
      <xdr:colOff>0</xdr:colOff>
      <xdr:row>17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Region">
              <a:extLst>
                <a:ext uri="{FF2B5EF4-FFF2-40B4-BE49-F238E27FC236}">
                  <a16:creationId xmlns:a16="http://schemas.microsoft.com/office/drawing/2014/main" id="{F24E7CA5-871E-0FF1-19A3-D3E4A548F64B}"/>
                </a:ext>
                <a:ext uri="{147F2762-F138-4A5C-976F-8EAC2B608ADB}">
                  <a16:predDERef xmlns:a16="http://schemas.microsoft.com/office/drawing/2014/main" pred="{3BD5550B-370F-2D91-D4C9-8A89A98639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62175"/>
              <a:ext cx="1504950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6.014525578707" createdVersion="8" refreshedVersion="8" minRefreshableVersion="3" recordCount="1000" xr:uid="{1D33FEA2-DD3C-4881-A935-A650463F0000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6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 Miles +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6">
        <s v="Middle Age"/>
        <s v="Old"/>
        <s v="Adolescent"/>
        <s v="Middle Age 31-54" u="1"/>
        <s v="Old 55+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4145709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0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0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0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0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0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0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0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0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0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0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0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0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0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0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0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0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0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0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4DA65-3086-4FAB-8547-37784F721130}" name="PivotTable3" cacheId="2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58:D62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numFmtId="166" outline="0" showAll="0"/>
    <pivotField compact="0" outline="0" showAll="0"/>
    <pivotField compact="0" outline="0" showAll="0">
      <items count="6">
        <item x="0"/>
        <item h="1"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x="2"/>
        <item h="1" x="1"/>
        <item t="default"/>
      </items>
    </pivotField>
    <pivotField compact="0" outline="0" showAll="0"/>
    <pivotField axis="axisRow" compact="0" outline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298DA-8D1B-46B1-A829-6E6706F91724}" name="PivotTable2" cacheId="2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48:D55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numFmtId="166" outline="0" showAll="0"/>
    <pivotField compact="0" outline="0" showAll="0"/>
    <pivotField compact="0" outline="0" showAll="0">
      <items count="6">
        <item x="0"/>
        <item h="1"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0A929-5F00-4F71-88DB-A383391FE0DE}" name="PivotTable1" cacheId="2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41:D45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6" outline="0" showAll="0"/>
    <pivotField compact="0" outline="0" showAll="0"/>
    <pivotField compact="0" outline="0" showAll="0">
      <items count="6">
        <item x="0"/>
        <item h="1"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x="2"/>
        <item h="1"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2"/>
  </dataFields>
  <formats count="2">
    <format dxfId="0">
      <pivotArea outline="0" collapsedLevelsAreSubtotals="1" fieldPosition="0"/>
    </format>
    <format dxfId="1">
      <pivotArea outline="0" fieldPosition="0">
        <references count="1">
          <reference field="2" count="0" selected="0"/>
        </references>
      </pivotArea>
    </format>
  </formats>
  <chartFormats count="1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26FFD1B0-FB8A-4B8E-B162-A71BC34ACA7E}" sourceName="Marital Status">
  <pivotTables>
    <pivotTable tabId="3" name="PivotTable1"/>
    <pivotTable tabId="3" name="PivotTable2"/>
    <pivotTable tabId="3" name="PivotTable3"/>
  </pivotTables>
  <data>
    <tabular pivotCacheId="1414570974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41851288-7F8C-427B-8D4C-DCBD3CC29568}" sourceName="Education">
  <pivotTables>
    <pivotTable tabId="3" name="PivotTable2"/>
    <pivotTable tabId="3" name="PivotTable3"/>
    <pivotTable tabId="3" name="PivotTable1"/>
  </pivotTables>
  <data>
    <tabular pivotCacheId="1414570974">
      <items count="5">
        <i x="0" s="1"/>
        <i x="4"/>
        <i x="2"/>
        <i x="1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ACACD6C9-1656-4D6C-B5BC-9D8EFA0BC5CA}" sourceName="Region">
  <pivotTables>
    <pivotTable tabId="3" name="PivotTable2"/>
    <pivotTable tabId="3" name="PivotTable3"/>
    <pivotTable tabId="3" name="PivotTable1"/>
  </pivotTables>
  <data>
    <tabular pivotCacheId="1414570974">
      <items count="3">
        <i x="0"/>
        <i x="2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87CE8200-8D81-43F5-8072-57D44AD51BE3}" cache="Slicer_Marital_Status" caption="Marital Status" rowHeight="228600"/>
  <slicer name="Education" xr10:uid="{A1F59DF3-2C65-4022-896D-76F62C8D46BF}" cache="Slicer_Education" caption="Education" rowHeight="228600"/>
  <slicer name="Region" xr10:uid="{781258E3-52B2-4EDF-85FB-28FD945FABD0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A2" sqref="A1:M1027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B625-6DDD-4D7B-A0AC-39B7FFEE6AE3}">
  <dimension ref="A1:N1001"/>
  <sheetViews>
    <sheetView workbookViewId="0">
      <selection activeCell="M2" sqref="M2"/>
    </sheetView>
  </sheetViews>
  <sheetFormatPr defaultColWidth="11.85546875" defaultRowHeight="15"/>
  <cols>
    <col min="2" max="2" width="16.28515625" customWidth="1"/>
    <col min="4" max="4" width="16" style="5" customWidth="1"/>
    <col min="6" max="7" width="16.85546875" customWidth="1"/>
    <col min="8" max="8" width="15" customWidth="1"/>
    <col min="13" max="13" width="36.5703125" bestFit="1" customWidth="1"/>
    <col min="14" max="14" width="15.42578125" customWidth="1"/>
  </cols>
  <sheetData>
    <row r="1" spans="1:14" s="3" customFormat="1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36</v>
      </c>
      <c r="N1" s="3" t="s">
        <v>12</v>
      </c>
    </row>
    <row r="2" spans="1:14">
      <c r="A2">
        <v>12496</v>
      </c>
      <c r="B2" t="s">
        <v>37</v>
      </c>
      <c r="C2" t="s">
        <v>38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s="7" t="str">
        <f>IF(L2&gt;55,"Old",IF(L2&gt;=31,"Middle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s="7" t="str">
        <f t="shared" ref="M3:M66" si="0">IF(L3&gt;55,"Old",IF(L3&gt;=31,"Middle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s="7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s="7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s="7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s="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s="7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s="7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s="7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s="7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s="7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s="7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s="7" t="str">
        <f t="shared" si="0"/>
        <v>Middle Age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s="7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s="7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s="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s="7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s="7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s="7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s="7" t="str">
        <f t="shared" si="0"/>
        <v>Middle Age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s="7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s="7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s="7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s="7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s="7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s="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s="7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s="7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s="7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s="7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s="7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s="7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s="7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s="7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s="7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s="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s="7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s="7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s="7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s="7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s="7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s="7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s="7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s="7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s="7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s="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s="7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s="7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s="7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s="7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s="7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s="7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s="7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s="7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s="7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s="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s="7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s="7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s="7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s="7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s="7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s="7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s="7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s="7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s="7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s="7" t="str">
        <f t="shared" ref="M67:M130" si="1">IF(L67&gt;55,"Old",IF(L67&gt;=31,"Middle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s="7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s="7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s="7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s="7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s="7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s="7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s="7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s="7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s="7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s="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s="7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s="7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s="7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s="7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s="7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s="7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s="7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s="7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s="7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s="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s="7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s="7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s="7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s="7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s="7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s="7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s="7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s="7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s="7" t="str">
        <f t="shared" si="1"/>
        <v>Middle Age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s="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s="7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s="7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s="7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s="7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s="7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s="7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s="7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s="7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s="7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s="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s="7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s="7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s="7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s="7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s="7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s="7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s="7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s="7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s="7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s="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s="7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s="7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s="7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s="7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s="7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s="7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s="7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s="7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s="7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s="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s="7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s="7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s="7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s="7" t="str">
        <f t="shared" ref="M131:M194" si="2">IF(L131&gt;55,"Old",IF(L131&gt;=31,"Middle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s="7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s="7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s="7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s="7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s="7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s="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s="7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s="7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s="7" t="str">
        <f t="shared" si="2"/>
        <v>Middle Age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s="7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s="7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s="7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s="7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s="7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s="7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s="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s="7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s="7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s="7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s="7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s="7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s="7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s="7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s="7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s="7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s="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s="7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s="7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s="7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s="7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s="7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s="7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s="7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s="7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s="7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s="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s="7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s="7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s="7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s="7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s="7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s="7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s="7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s="7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s="7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s="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s="7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s="7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s="7" t="str">
        <f t="shared" si="2"/>
        <v>Middle Age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s="7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s="7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s="7" t="str">
        <f t="shared" si="2"/>
        <v>Middle Age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s="7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s="7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s="7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s="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s="7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s="7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s="7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s="7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s="7" t="str">
        <f t="shared" si="2"/>
        <v>Middle Age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s="7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s="7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s="7" t="str">
        <f t="shared" ref="M195:M258" si="3">IF(L195&gt;55,"Old",IF(L195&gt;=31,"Middle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s="7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s="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s="7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s="7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s="7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s="7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s="7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s="7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s="7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s="7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s="7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s="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s="7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s="7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s="7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s="7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s="7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s="7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s="7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s="7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s="7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s="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s="7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s="7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s="7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s="7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s="7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s="7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s="7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s="7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s="7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s="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s="7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s="7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s="7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s="7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s="7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s="7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s="7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s="7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s="7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s="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s="7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s="7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s="7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s="7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s="7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s="7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s="7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s="7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s="7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s="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s="7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s="7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s="7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s="7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s="7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s="7" t="str">
        <f t="shared" si="3"/>
        <v>Middle Age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s="7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s="7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s="7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s="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s="7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s="7" t="str">
        <f t="shared" ref="M259:M322" si="4">IF(L259&gt;55,"Old",IF(L259&gt;=31,"Middle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s="7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s="7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s="7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s="7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s="7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s="7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s="7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s="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s="7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s="7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s="7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s="7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s="7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s="7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s="7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s="7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s="7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s="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s="7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s="7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s="7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s="7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s="7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s="7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s="7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s="7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s="7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s="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s="7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s="7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s="7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s="7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s="7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s="7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s="7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s="7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s="7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s="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s="7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s="7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s="7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s="7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s="7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s="7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s="7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s="7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s="7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s="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s="7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s="7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s="7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s="7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s="7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s="7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s="7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s="7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s="7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s="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s="7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s="7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s="7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s="7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s="7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s="7" t="str">
        <f t="shared" ref="M323:M386" si="5">IF(L323&gt;55,"Old",IF(L323&gt;=31,"Middle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s="7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s="7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s="7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s="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s="7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s="7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s="7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s="7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s="7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s="7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s="7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s="7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s="7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s="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s="7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s="7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s="7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s="7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s="7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s="7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s="7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s="7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s="7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s="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s="7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s="7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s="7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s="7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s="7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s="7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s="7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s="7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s="7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s="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s="7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s="7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s="7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s="7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s="7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s="7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s="7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s="7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s="7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s="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s="7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s="7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s="7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s="7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s="7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s="7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s="7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s="7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s="7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s="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s="7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s="7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s="7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s="7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s="7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s="7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s="7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s="7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s="7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s="7" t="str">
        <f t="shared" ref="M387:M450" si="6">IF(L387&gt;55,"Old",IF(L387&gt;=31,"Middle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s="7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s="7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s="7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s="7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s="7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s="7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s="7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s="7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s="7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s="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s="7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s="7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s="7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s="7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s="7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s="7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s="7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s="7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s="7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s="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s="7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s="7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s="7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s="7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s="7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s="7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s="7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s="7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s="7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s="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s="7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s="7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s="7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s="7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s="7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s="7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s="7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s="7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s="7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s="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s="7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s="7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s="7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s="7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s="7" t="str">
        <f t="shared" si="6"/>
        <v>Middle Age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s="7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s="7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s="7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s="7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s="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s="7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s="7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s="7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s="7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s="7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s="7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s="7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s="7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s="7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s="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s="7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s="7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s="7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s="7" t="str">
        <f t="shared" ref="M451:M514" si="7">IF(L451&gt;55,"Old",IF(L451&gt;=31,"Middle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s="7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s="7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s="7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s="7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s="7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s="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s="7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s="7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s="7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s="7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s="7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s="7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s="7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s="7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s="7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s="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s="7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s="7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s="7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s="7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s="7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s="7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s="7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s="7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s="7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s="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s="7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s="7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s="7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s="7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s="7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s="7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s="7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s="7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s="7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s="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s="7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s="7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s="7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s="7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s="7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s="7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s="7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s="7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s="7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s="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s="7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s="7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s="7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s="7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s="7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s="7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s="7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s="7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s="7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s="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s="7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s="7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s="7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s="7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s="7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s="7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s="7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s="7" t="str">
        <f t="shared" ref="M515:M578" si="8">IF(L515&gt;55,"Old",IF(L515&gt;=31,"Middle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s="7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s="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s="7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s="7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s="7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s="7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s="7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s="7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s="7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s="7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s="7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s="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s="7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s="7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s="7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s="7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s="7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s="7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s="7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s="7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s="7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s="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s="7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s="7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s="7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s="7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s="7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s="7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s="7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s="7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s="7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s="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s="7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s="7" t="str">
        <f t="shared" si="8"/>
        <v>Middle Age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s="7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s="7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s="7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s="7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s="7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s="7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s="7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s="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s="7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s="7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s="7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s="7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s="7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s="7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s="7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s="7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s="7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s="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s="7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s="7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s="7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s="7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s="7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s="7" t="str">
        <f t="shared" si="8"/>
        <v>Middle Age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s="7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s="7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s="7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s="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s="7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s="7" t="str">
        <f t="shared" ref="M579:M642" si="9">IF(L579&gt;55,"Old",IF(L579&gt;=31,"Middle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s="7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s="7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s="7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s="7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s="7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s="7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s="7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s="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s="7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s="7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s="7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s="7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s="7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s="7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s="7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s="7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s="7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s="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s="7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s="7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s="7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s="7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s="7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s="7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s="7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s="7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s="7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s="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s="7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s="7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s="7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s="7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s="7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s="7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s="7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s="7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s="7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s="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s="7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s="7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s="7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s="7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s="7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s="7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s="7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s="7" t="str">
        <f t="shared" si="9"/>
        <v>Middle Age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s="7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s="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s="7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s="7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s="7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s="7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s="7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s="7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s="7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s="7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s="7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s="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s="7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s="7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s="7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s="7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s="7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s="7" t="str">
        <f t="shared" ref="M643:M706" si="10">IF(L643&gt;55,"Old",IF(L643&gt;=31,"Middle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s="7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s="7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s="7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s="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s="7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s="7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s="7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s="7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s="7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s="7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s="7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s="7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s="7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s="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s="7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s="7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s="7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s="7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s="7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s="7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s="7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s="7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s="7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s="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s="7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s="7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s="7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s="7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s="7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s="7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s="7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s="7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s="7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s="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s="7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s="7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s="7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s="7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s="7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s="7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s="7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s="7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s="7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s="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s="7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s="7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s="7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s="7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s="7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s="7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s="7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s="7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s="7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s="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s="7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s="7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s="7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s="7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s="7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s="7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s="7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s="7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s="7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s="7" t="str">
        <f t="shared" ref="M707:M770" si="11">IF(L707&gt;55,"Old",IF(L707&gt;=31,"Middle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s="7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s="7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s="7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s="7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s="7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s="7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s="7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s="7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s="7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s="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s="7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s="7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s="7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s="7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s="7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s="7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s="7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s="7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s="7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s="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s="7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s="7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s="7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s="7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s="7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s="7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s="7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s="7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s="7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s="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s="7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s="7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s="7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s="7" t="str">
        <f t="shared" si="11"/>
        <v>Middle Age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s="7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s="7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s="7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s="7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s="7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s="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s="7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s="7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s="7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s="7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s="7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s="7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s="7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s="7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s="7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s="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s="7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s="7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s="7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s="7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s="7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s="7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s="7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s="7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s="7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s="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s="7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s="7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s="7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s="7" t="str">
        <f t="shared" ref="M771:M834" si="12">IF(L771&gt;55,"Old",IF(L771&gt;=31,"Middle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s="7" t="str">
        <f t="shared" si="12"/>
        <v>Middle Age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s="7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s="7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s="7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s="7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s="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s="7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s="7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s="7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s="7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s="7" t="str">
        <f t="shared" si="12"/>
        <v>Middle Age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s="7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s="7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s="7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s="7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s="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s="7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s="7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s="7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s="7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s="7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s="7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s="7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s="7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s="7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s="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s="7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s="7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s="7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s="7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s="7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s="7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s="7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s="7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s="7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s="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s="7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s="7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s="7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s="7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s="7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s="7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s="7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s="7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s="7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s="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s="7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s="7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s="7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s="7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s="7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s="7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s="7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s="7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s="7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s="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s="7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s="7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s="7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s="7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s="7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s="7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s="7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s="7" t="str">
        <f t="shared" ref="M835:M898" si="13">IF(L835&gt;55,"Old",IF(L835&gt;=31,"Middle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s="7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s="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s="7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s="7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s="7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s="7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s="7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s="7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s="7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s="7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s="7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s="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s="7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s="7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s="7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s="7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s="7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s="7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s="7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s="7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s="7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s="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s="7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s="7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s="7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s="7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s="7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s="7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s="7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s="7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s="7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s="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s="7" t="str">
        <f t="shared" si="13"/>
        <v>Middle Age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s="7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s="7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s="7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s="7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s="7" t="str">
        <f t="shared" si="13"/>
        <v>Middle Age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s="7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s="7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s="7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s="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s="7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s="7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s="7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s="7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s="7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s="7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s="7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s="7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s="7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s="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s="7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s="7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s="7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s="7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s="7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s="7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s="7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s="7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s="7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s="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s="7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s="7" t="str">
        <f t="shared" ref="M899:M962" si="14">IF(L899&gt;55,"Old",IF(L899&gt;=31,"Middle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s="7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s="7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s="7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s="7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s="7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s="7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s="7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s="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s="7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s="7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s="7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s="7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s="7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s="7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s="7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s="7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s="7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s="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s="7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s="7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s="7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s="7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s="7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s="7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s="7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s="7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s="7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s="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s="7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s="7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s="7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s="7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s="7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s="7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s="7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s="7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s="7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s="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s="7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s="7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s="7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s="7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s="7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s="7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s="7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s="7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s="7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s="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s="7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s="7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s="7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s="7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s="7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s="7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s="7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s="7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s="7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s="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s="7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s="7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s="7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s="7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s="7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s="7" t="str">
        <f t="shared" ref="M963:M1001" si="15">IF(L963&gt;55,"Old",IF(L963&gt;=31,"Middle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s="7" t="str">
        <f t="shared" si="15"/>
        <v>Middle Age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s="7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s="7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s="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s="7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s="7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s="7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s="7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s="7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s="7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s="7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s="7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s="7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s="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s="7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s="7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s="7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s="7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s="7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s="7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s="7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s="7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s="7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s="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s="7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s="7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s="7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s="7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s="7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s="7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s="7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s="7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s="7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6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s="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s="7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s="7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s="7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s="7" t="str">
        <f t="shared" si="15"/>
        <v>Middle Age</v>
      </c>
      <c r="N1001" t="s">
        <v>17</v>
      </c>
    </row>
  </sheetData>
  <autoFilter ref="A1:N1001" xr:uid="{283DB625-6DDD-4D7B-A0AC-39B7FFEE6AE3}"/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514-2625-4F2F-9531-07DAA1B661E9}">
  <dimension ref="A1:O62"/>
  <sheetViews>
    <sheetView showGridLines="0" tabSelected="1" workbookViewId="0">
      <selection sqref="A1:M6"/>
    </sheetView>
  </sheetViews>
  <sheetFormatPr defaultRowHeight="15"/>
  <cols>
    <col min="1" max="1" width="22.5703125" bestFit="1" customWidth="1"/>
    <col min="2" max="2" width="17.5703125" bestFit="1" customWidth="1"/>
    <col min="3" max="3" width="3.85546875" bestFit="1" customWidth="1"/>
    <col min="4" max="5" width="11.42578125" bestFit="1" customWidth="1"/>
  </cols>
  <sheetData>
    <row r="1" spans="1:15" ht="15" customHeight="1">
      <c r="A1" s="12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  <c r="O1" s="13"/>
    </row>
    <row r="2" spans="1:15" ht="1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3"/>
    </row>
    <row r="3" spans="1:15" ht="1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3"/>
    </row>
    <row r="4" spans="1:15" ht="1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13"/>
    </row>
    <row r="5" spans="1:15" ht="1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  <c r="O5" s="13"/>
    </row>
    <row r="6" spans="1:15" ht="1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/>
      <c r="O6" s="13"/>
    </row>
    <row r="41" spans="1:4">
      <c r="A41" s="8" t="s">
        <v>43</v>
      </c>
      <c r="B41" s="8" t="s">
        <v>12</v>
      </c>
    </row>
    <row r="42" spans="1:4">
      <c r="A42" s="8" t="s">
        <v>2</v>
      </c>
      <c r="B42" t="s">
        <v>20</v>
      </c>
      <c r="C42" t="s">
        <v>17</v>
      </c>
      <c r="D42" t="s">
        <v>44</v>
      </c>
    </row>
    <row r="43" spans="1:4">
      <c r="A43" t="s">
        <v>38</v>
      </c>
      <c r="B43" s="10">
        <v>71111.111111111109</v>
      </c>
      <c r="C43" s="10">
        <v>76875</v>
      </c>
      <c r="D43" s="10">
        <v>73823.529411764699</v>
      </c>
    </row>
    <row r="44" spans="1:4">
      <c r="A44" t="s">
        <v>39</v>
      </c>
      <c r="B44" s="10">
        <v>66774.193548387091</v>
      </c>
      <c r="C44" s="10">
        <v>61250</v>
      </c>
      <c r="D44" s="10">
        <v>65641.025641025641</v>
      </c>
    </row>
    <row r="45" spans="1:4">
      <c r="A45" t="s">
        <v>44</v>
      </c>
      <c r="B45" s="9">
        <v>68367.346938775503</v>
      </c>
      <c r="C45" s="9">
        <v>71666.666666666672</v>
      </c>
      <c r="D45" s="9">
        <v>69452.054794520547</v>
      </c>
    </row>
    <row r="48" spans="1:4">
      <c r="A48" s="8" t="s">
        <v>45</v>
      </c>
      <c r="B48" s="8" t="s">
        <v>12</v>
      </c>
    </row>
    <row r="49" spans="1:4">
      <c r="A49" s="8" t="s">
        <v>9</v>
      </c>
      <c r="B49" t="s">
        <v>20</v>
      </c>
      <c r="C49" t="s">
        <v>17</v>
      </c>
      <c r="D49" t="s">
        <v>44</v>
      </c>
    </row>
    <row r="50" spans="1:4">
      <c r="A50" t="s">
        <v>18</v>
      </c>
      <c r="B50" s="11">
        <v>12</v>
      </c>
      <c r="C50" s="11">
        <v>10</v>
      </c>
      <c r="D50" s="11">
        <v>22</v>
      </c>
    </row>
    <row r="51" spans="1:4">
      <c r="A51" t="s">
        <v>29</v>
      </c>
      <c r="B51" s="11">
        <v>8</v>
      </c>
      <c r="C51" s="11">
        <v>5</v>
      </c>
      <c r="D51" s="11">
        <v>13</v>
      </c>
    </row>
    <row r="52" spans="1:4">
      <c r="A52" t="s">
        <v>24</v>
      </c>
      <c r="B52" s="11">
        <v>9</v>
      </c>
      <c r="C52" s="11">
        <v>8</v>
      </c>
      <c r="D52" s="11">
        <v>17</v>
      </c>
    </row>
    <row r="53" spans="1:4">
      <c r="A53" t="s">
        <v>26</v>
      </c>
      <c r="B53" s="11">
        <v>4</v>
      </c>
      <c r="C53" s="11">
        <v>1</v>
      </c>
      <c r="D53" s="11">
        <v>5</v>
      </c>
    </row>
    <row r="54" spans="1:4">
      <c r="A54" t="s">
        <v>41</v>
      </c>
      <c r="B54" s="11">
        <v>16</v>
      </c>
      <c r="C54" s="11"/>
      <c r="D54" s="11">
        <v>16</v>
      </c>
    </row>
    <row r="55" spans="1:4">
      <c r="A55" t="s">
        <v>44</v>
      </c>
      <c r="B55" s="11">
        <v>49</v>
      </c>
      <c r="C55" s="11">
        <v>24</v>
      </c>
      <c r="D55" s="11">
        <v>73</v>
      </c>
    </row>
    <row r="58" spans="1:4">
      <c r="A58" s="8" t="s">
        <v>45</v>
      </c>
      <c r="B58" s="8" t="s">
        <v>12</v>
      </c>
    </row>
    <row r="59" spans="1:4">
      <c r="A59" s="8" t="s">
        <v>36</v>
      </c>
      <c r="B59" t="s">
        <v>20</v>
      </c>
      <c r="C59" t="s">
        <v>17</v>
      </c>
      <c r="D59" t="s">
        <v>44</v>
      </c>
    </row>
    <row r="60" spans="1:4">
      <c r="A60" t="s">
        <v>46</v>
      </c>
      <c r="B60" s="11">
        <v>25</v>
      </c>
      <c r="C60" s="11">
        <v>21</v>
      </c>
      <c r="D60" s="11">
        <v>46</v>
      </c>
    </row>
    <row r="61" spans="1:4">
      <c r="A61" t="s">
        <v>47</v>
      </c>
      <c r="B61" s="11">
        <v>24</v>
      </c>
      <c r="C61" s="11">
        <v>3</v>
      </c>
      <c r="D61" s="11">
        <v>27</v>
      </c>
    </row>
    <row r="62" spans="1:4">
      <c r="A62" t="s">
        <v>44</v>
      </c>
      <c r="B62" s="11">
        <v>49</v>
      </c>
      <c r="C62" s="11">
        <v>24</v>
      </c>
      <c r="D62" s="11">
        <v>73</v>
      </c>
    </row>
  </sheetData>
  <mergeCells count="1">
    <mergeCell ref="A1:M6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Nadim AbduNassar</cp:lastModifiedBy>
  <cp:revision/>
  <dcterms:created xsi:type="dcterms:W3CDTF">2022-03-18T02:50:57Z</dcterms:created>
  <dcterms:modified xsi:type="dcterms:W3CDTF">2026-03-14T19:37:27Z</dcterms:modified>
  <cp:category/>
  <cp:contentStatus/>
</cp:coreProperties>
</file>